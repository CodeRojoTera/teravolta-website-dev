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2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6b920309f115f3d/Agustin/05.TeraVolta_Business Plan/000.Borrar/"/>
    </mc:Choice>
  </mc:AlternateContent>
  <xr:revisionPtr revIDLastSave="0" documentId="8_{16A97F60-94DC-422F-8271-94DF0AFAF615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Cronograma Hi Tech" sheetId="3" r:id="rId1"/>
  </sheets>
  <definedNames>
    <definedName name="_xlnm.Print_Area" localSheetId="0">'Cronograma Hi Tech'!$A$1:$BE$24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1" i="3" l="1"/>
  <c r="G24" i="3"/>
  <c r="G23" i="3"/>
  <c r="G21" i="3"/>
  <c r="G20" i="3"/>
  <c r="G18" i="3"/>
  <c r="G16" i="3"/>
  <c r="G17" i="3"/>
  <c r="G15" i="3"/>
  <c r="G13" i="3"/>
  <c r="G12" i="3"/>
  <c r="F18" i="3"/>
  <c r="F24" i="3"/>
  <c r="F23" i="3"/>
  <c r="F22" i="3"/>
  <c r="F21" i="3"/>
  <c r="F20" i="3"/>
  <c r="F19" i="3"/>
  <c r="F17" i="3"/>
  <c r="F16" i="3"/>
  <c r="F15" i="3"/>
  <c r="F14" i="3"/>
  <c r="F13" i="3"/>
  <c r="F12" i="3"/>
  <c r="F11" i="3"/>
  <c r="F10" i="3"/>
</calcChain>
</file>

<file path=xl/sharedStrings.xml><?xml version="1.0" encoding="utf-8"?>
<sst xmlns="http://schemas.openxmlformats.org/spreadsheetml/2006/main" count="100" uniqueCount="54">
  <si>
    <t>M</t>
  </si>
  <si>
    <t>TÍTULO DEL PROYECTO</t>
  </si>
  <si>
    <t>ADMINISTRADOR DEL PROYECTO</t>
  </si>
  <si>
    <t>NOMBRE DE LA EMPRESA</t>
  </si>
  <si>
    <t>ID DE</t>
  </si>
  <si>
    <t>TÍTULO DE</t>
  </si>
  <si>
    <t>FECHA DE</t>
  </si>
  <si>
    <t>DURACIÓN</t>
  </si>
  <si>
    <t>TAREA</t>
  </si>
  <si>
    <t>LA TAREA</t>
  </si>
  <si>
    <t>INICIO</t>
  </si>
  <si>
    <t>VENCIMIENTO</t>
  </si>
  <si>
    <t>EN DÍAS</t>
  </si>
  <si>
    <t>L</t>
  </si>
  <si>
    <t>X</t>
  </si>
  <si>
    <t>J</t>
  </si>
  <si>
    <t>V</t>
  </si>
  <si>
    <t>Chatbot Hi Tech Equipments</t>
  </si>
  <si>
    <t>Hi Tech Equipments</t>
  </si>
  <si>
    <t>Andrés Contreras Camacho</t>
  </si>
  <si>
    <t>Chatbot</t>
  </si>
  <si>
    <t>Ingeniería inversa y arquitectura inicial</t>
  </si>
  <si>
    <t>Descifrado de API de Protecnus</t>
  </si>
  <si>
    <t>Diseño y creación inicial de bases de datos</t>
  </si>
  <si>
    <t>Comunicación con APIs y servicios externos</t>
  </si>
  <si>
    <t>Conexión al API de Protecnus</t>
  </si>
  <si>
    <t>Implementación de API para conectar a Fidanque</t>
  </si>
  <si>
    <t>Desarrollo del módulo de creación de órdenes de trabajo</t>
  </si>
  <si>
    <t>Desarrollo del módulo de WhatsApp para técnicos</t>
  </si>
  <si>
    <t>Desarrollo del módulo WhatsApp para atención al cliente con integración de LLM y base de datos vectorial</t>
  </si>
  <si>
    <t>Desarrollo de aplicación para visualizar en tiempo real la actividad del sistema, órdenes, logs, notificaciones, etc.</t>
  </si>
  <si>
    <t>Visualización de actividad y sistema de comunicación avanzada</t>
  </si>
  <si>
    <t>Diseño de arquitectura de sistema y protocolos de comunicación</t>
  </si>
  <si>
    <t>Testing, Seguridad y Despliegue</t>
  </si>
  <si>
    <t>Pruebas integrales, seguridad informática y optimización de rendimiento del sistema</t>
  </si>
  <si>
    <t>Preparación de despliegue en la nube, despliegue final y monitoreo post-despliegue</t>
  </si>
  <si>
    <t>FASE UNO (7 abril - 5 mayo)</t>
  </si>
  <si>
    <t>FASE DOS (5 mayo - 19 mayo)</t>
  </si>
  <si>
    <t>FASE TRES (19 mayo - 2 junio)</t>
  </si>
  <si>
    <t>FASE CUATRO (2 junio - 16 junio)</t>
  </si>
  <si>
    <t>SEMANA 1 (7 abril - 14 abril)</t>
  </si>
  <si>
    <t>SEMANA 2 (14 abril - 21 abril)</t>
  </si>
  <si>
    <t>SEMANA 3 (21 abril - 28 abril)</t>
  </si>
  <si>
    <t>SEMANA 7 (19 mayo - 26 mayo)</t>
  </si>
  <si>
    <t>SEMANA 8 (26 mayo - 2 junio)</t>
  </si>
  <si>
    <t>SEMANA 4 (28 abril - 5 mayo)</t>
  </si>
  <si>
    <t>SEMANA 5 (5 mayo - 12 mayo)</t>
  </si>
  <si>
    <t>SEMANA 6 (12 mayo - 19 mayo)</t>
  </si>
  <si>
    <t>SEMANA 9 (2 junio - 9 junio)</t>
  </si>
  <si>
    <t>SEMANA 10 (9 junio - 16 junio)</t>
  </si>
  <si>
    <t xml:space="preserve">PORCENTAJE </t>
  </si>
  <si>
    <t>COMPLETADO</t>
  </si>
  <si>
    <t>HITO FINAL</t>
  </si>
  <si>
    <t xml:space="preserve">  16/6/2025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</si>
</sst>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[$-F800]dddd\,\ mmmm\ dd\,\ yyyy"/>
  </numFmts>
  <fonts count="13" x14ac:knownFonts="1">
    <font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sz val="12"/>
      <color theme="1"/>
      <name val="Century Gothic"/>
      <family val="1"/>
    </font>
    <font>
      <b/>
      <sz val="15"/>
      <color rgb="FF000000"/>
      <name val="Arial"/>
      <family val="2"/>
    </font>
    <font>
      <b/>
      <sz val="10"/>
      <color theme="0"/>
      <name val="Century Gothic"/>
      <family val="1"/>
    </font>
    <font>
      <sz val="10"/>
      <color theme="1"/>
      <name val="Century Gothic"/>
      <family val="1"/>
    </font>
    <font>
      <b/>
      <sz val="10"/>
      <color theme="4" tint="-0.249977111117893"/>
      <name val="Century Gothic"/>
      <family val="1"/>
    </font>
    <font>
      <b/>
      <sz val="9"/>
      <color theme="1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orbel"/>
      <family val="2"/>
      <scheme val="minor"/>
    </font>
    <font>
      <b/>
      <sz val="22"/>
      <color theme="1" tint="0.34998626667073579"/>
      <name val="Century Gothic"/>
      <family val="1"/>
    </font>
    <font>
      <b/>
      <sz val="10"/>
      <color theme="1"/>
      <name val="Century Gothic"/>
      <family val="2"/>
    </font>
  </fonts>
  <fills count="2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3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hair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/>
  </cellStyleXfs>
  <cellXfs count="9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8" fillId="12" borderId="9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0" fontId="8" fillId="12" borderId="8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5" fillId="8" borderId="2" xfId="0" applyFont="1" applyFill="1" applyBorder="1"/>
    <xf numFmtId="0" fontId="5" fillId="8" borderId="1" xfId="0" applyFont="1" applyFill="1" applyBorder="1"/>
    <xf numFmtId="0" fontId="5" fillId="8" borderId="3" xfId="0" applyFont="1" applyFill="1" applyBorder="1"/>
    <xf numFmtId="0" fontId="5" fillId="0" borderId="2" xfId="0" applyFont="1" applyBorder="1"/>
    <xf numFmtId="0" fontId="5" fillId="0" borderId="1" xfId="0" applyFont="1" applyBorder="1"/>
    <xf numFmtId="0" fontId="5" fillId="13" borderId="1" xfId="0" applyFont="1" applyFill="1" applyBorder="1"/>
    <xf numFmtId="0" fontId="5" fillId="0" borderId="3" xfId="0" applyFont="1" applyBorder="1"/>
    <xf numFmtId="0" fontId="5" fillId="17" borderId="1" xfId="0" applyFont="1" applyFill="1" applyBorder="1"/>
    <xf numFmtId="0" fontId="5" fillId="7" borderId="1" xfId="0" applyFont="1" applyFill="1" applyBorder="1"/>
    <xf numFmtId="0" fontId="5" fillId="16" borderId="1" xfId="0" applyFont="1" applyFill="1" applyBorder="1"/>
    <xf numFmtId="0" fontId="8" fillId="18" borderId="6" xfId="0" applyFont="1" applyFill="1" applyBorder="1" applyAlignment="1">
      <alignment horizontal="center" vertical="center"/>
    </xf>
    <xf numFmtId="0" fontId="8" fillId="18" borderId="7" xfId="0" applyFont="1" applyFill="1" applyBorder="1" applyAlignment="1">
      <alignment horizontal="center" vertical="center"/>
    </xf>
    <xf numFmtId="0" fontId="5" fillId="9" borderId="1" xfId="0" applyFont="1" applyFill="1" applyBorder="1"/>
    <xf numFmtId="0" fontId="5" fillId="0" borderId="0" xfId="0" applyFont="1" applyAlignment="1">
      <alignment horizontal="left" vertical="center" wrapText="1" indent="1"/>
    </xf>
    <xf numFmtId="0" fontId="9" fillId="19" borderId="0" xfId="0" applyFont="1" applyFill="1" applyAlignment="1">
      <alignment vertical="center"/>
    </xf>
    <xf numFmtId="0" fontId="5" fillId="19" borderId="0" xfId="0" applyFont="1" applyFill="1" applyAlignment="1">
      <alignment horizontal="left" vertical="center" wrapText="1" indent="1"/>
    </xf>
    <xf numFmtId="0" fontId="5" fillId="8" borderId="4" xfId="0" applyFont="1" applyFill="1" applyBorder="1" applyAlignment="1">
      <alignment horizontal="left" vertical="center" indent="1"/>
    </xf>
    <xf numFmtId="1" fontId="5" fillId="8" borderId="5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indent="2"/>
    </xf>
    <xf numFmtId="0" fontId="5" fillId="8" borderId="2" xfId="0" applyFont="1" applyFill="1" applyBorder="1" applyAlignment="1">
      <alignment horizontal="left" vertical="center" indent="1"/>
    </xf>
    <xf numFmtId="1" fontId="5" fillId="8" borderId="1" xfId="0" applyNumberFormat="1" applyFont="1" applyFill="1" applyBorder="1" applyAlignment="1">
      <alignment horizontal="center" vertical="center"/>
    </xf>
    <xf numFmtId="0" fontId="5" fillId="8" borderId="24" xfId="0" applyFont="1" applyFill="1" applyBorder="1"/>
    <xf numFmtId="0" fontId="5" fillId="0" borderId="24" xfId="0" applyFont="1" applyBorder="1"/>
    <xf numFmtId="9" fontId="8" fillId="8" borderId="27" xfId="1" applyFont="1" applyFill="1" applyBorder="1" applyAlignment="1">
      <alignment horizontal="center" vertical="center"/>
    </xf>
    <xf numFmtId="9" fontId="8" fillId="0" borderId="22" xfId="1" applyFont="1" applyBorder="1" applyAlignment="1">
      <alignment horizontal="center" vertical="center"/>
    </xf>
    <xf numFmtId="9" fontId="8" fillId="8" borderId="22" xfId="1" applyFont="1" applyFill="1" applyBorder="1" applyAlignment="1">
      <alignment horizontal="center" vertical="center"/>
    </xf>
    <xf numFmtId="0" fontId="7" fillId="13" borderId="28" xfId="0" applyFont="1" applyFill="1" applyBorder="1" applyAlignment="1">
      <alignment horizontal="left" vertical="center" wrapText="1" indent="1"/>
    </xf>
    <xf numFmtId="0" fontId="7" fillId="13" borderId="28" xfId="0" applyFont="1" applyFill="1" applyBorder="1" applyAlignment="1">
      <alignment horizontal="left" vertical="center" indent="1"/>
    </xf>
    <xf numFmtId="0" fontId="7" fillId="13" borderId="30" xfId="0" applyFont="1" applyFill="1" applyBorder="1" applyAlignment="1">
      <alignment horizontal="left" vertical="center" wrapText="1" indent="1"/>
    </xf>
    <xf numFmtId="0" fontId="7" fillId="13" borderId="32" xfId="0" applyFont="1" applyFill="1" applyBorder="1" applyAlignment="1">
      <alignment horizontal="left" vertical="center" wrapText="1" indent="1"/>
    </xf>
    <xf numFmtId="0" fontId="5" fillId="0" borderId="33" xfId="0" applyFont="1" applyBorder="1" applyAlignment="1">
      <alignment horizontal="left" vertical="center" wrapText="1" indent="1"/>
    </xf>
    <xf numFmtId="0" fontId="5" fillId="20" borderId="1" xfId="0" applyFont="1" applyFill="1" applyBorder="1"/>
    <xf numFmtId="0" fontId="5" fillId="21" borderId="1" xfId="0" applyFont="1" applyFill="1" applyBorder="1"/>
    <xf numFmtId="0" fontId="5" fillId="22" borderId="1" xfId="0" applyFont="1" applyFill="1" applyBorder="1"/>
    <xf numFmtId="14" fontId="5" fillId="8" borderId="35" xfId="0" applyNumberFormat="1" applyFont="1" applyFill="1" applyBorder="1" applyAlignment="1">
      <alignment horizontal="center" vertical="center"/>
    </xf>
    <xf numFmtId="164" fontId="5" fillId="8" borderId="24" xfId="0" applyNumberFormat="1" applyFont="1" applyFill="1" applyBorder="1" applyAlignment="1">
      <alignment horizontal="center" vertical="center"/>
    </xf>
    <xf numFmtId="14" fontId="5" fillId="8" borderId="37" xfId="0" applyNumberFormat="1" applyFont="1" applyFill="1" applyBorder="1" applyAlignment="1">
      <alignment horizontal="center" vertical="center"/>
    </xf>
    <xf numFmtId="164" fontId="5" fillId="0" borderId="38" xfId="0" applyNumberFormat="1" applyFont="1" applyBorder="1" applyAlignment="1">
      <alignment horizontal="center" vertical="center"/>
    </xf>
    <xf numFmtId="164" fontId="5" fillId="8" borderId="38" xfId="0" applyNumberFormat="1" applyFont="1" applyFill="1" applyBorder="1" applyAlignment="1">
      <alignment horizontal="center" vertical="center"/>
    </xf>
    <xf numFmtId="164" fontId="5" fillId="13" borderId="24" xfId="0" applyNumberFormat="1" applyFont="1" applyFill="1" applyBorder="1" applyAlignment="1">
      <alignment horizontal="center" vertical="center"/>
    </xf>
    <xf numFmtId="1" fontId="5" fillId="9" borderId="1" xfId="0" applyNumberFormat="1" applyFont="1" applyFill="1" applyBorder="1" applyAlignment="1">
      <alignment horizontal="center" vertical="center"/>
    </xf>
    <xf numFmtId="0" fontId="11" fillId="19" borderId="0" xfId="0" applyFont="1" applyFill="1" applyAlignment="1">
      <alignment vertical="center"/>
    </xf>
    <xf numFmtId="0" fontId="5" fillId="0" borderId="2" xfId="0" applyFont="1" applyBorder="1" applyAlignment="1">
      <alignment horizontal="left" vertical="center" wrapText="1" indent="2"/>
    </xf>
    <xf numFmtId="0" fontId="5" fillId="8" borderId="2" xfId="0" applyFont="1" applyFill="1" applyBorder="1" applyAlignment="1">
      <alignment horizontal="left" vertical="center" wrapText="1" indent="1"/>
    </xf>
    <xf numFmtId="0" fontId="4" fillId="11" borderId="18" xfId="0" applyFont="1" applyFill="1" applyBorder="1" applyAlignment="1">
      <alignment horizontal="center" vertical="center"/>
    </xf>
    <xf numFmtId="0" fontId="4" fillId="11" borderId="19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4" fillId="10" borderId="14" xfId="0" applyFont="1" applyFill="1" applyBorder="1" applyAlignment="1">
      <alignment horizontal="center" vertical="center"/>
    </xf>
    <xf numFmtId="0" fontId="4" fillId="10" borderId="15" xfId="0" applyFont="1" applyFill="1" applyBorder="1" applyAlignment="1">
      <alignment horizontal="center" vertical="center"/>
    </xf>
    <xf numFmtId="0" fontId="4" fillId="14" borderId="13" xfId="0" applyFont="1" applyFill="1" applyBorder="1" applyAlignment="1">
      <alignment horizontal="center" vertical="center"/>
    </xf>
    <xf numFmtId="0" fontId="4" fillId="14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/>
    </xf>
    <xf numFmtId="0" fontId="4" fillId="15" borderId="20" xfId="0" applyFont="1" applyFill="1" applyBorder="1" applyAlignment="1">
      <alignment horizontal="center" vertical="center"/>
    </xf>
    <xf numFmtId="0" fontId="4" fillId="15" borderId="18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7" fillId="8" borderId="16" xfId="0" applyFont="1" applyFill="1" applyBorder="1" applyAlignment="1">
      <alignment horizontal="left" vertical="center" wrapText="1"/>
    </xf>
    <xf numFmtId="0" fontId="7" fillId="8" borderId="36" xfId="0" applyFont="1" applyFill="1" applyBorder="1" applyAlignment="1">
      <alignment horizontal="center" vertical="center" wrapText="1"/>
    </xf>
    <xf numFmtId="0" fontId="7" fillId="8" borderId="34" xfId="0" applyFont="1" applyFill="1" applyBorder="1" applyAlignment="1">
      <alignment horizontal="center" vertical="center" wrapText="1"/>
    </xf>
    <xf numFmtId="0" fontId="7" fillId="8" borderId="16" xfId="0" applyFont="1" applyFill="1" applyBorder="1" applyAlignment="1">
      <alignment horizontal="center" vertical="center" wrapText="1"/>
    </xf>
    <xf numFmtId="0" fontId="7" fillId="8" borderId="2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8" borderId="12" xfId="0" applyFont="1" applyFill="1" applyBorder="1" applyAlignment="1">
      <alignment horizontal="left" vertical="center" wrapText="1"/>
    </xf>
    <xf numFmtId="0" fontId="7" fillId="8" borderId="32" xfId="0" applyFont="1" applyFill="1" applyBorder="1" applyAlignment="1">
      <alignment horizontal="center" vertical="center" wrapText="1"/>
    </xf>
    <xf numFmtId="0" fontId="7" fillId="8" borderId="33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26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49" fontId="5" fillId="9" borderId="21" xfId="0" applyNumberFormat="1" applyFont="1" applyFill="1" applyBorder="1" applyAlignment="1">
      <alignment horizontal="center" vertical="center"/>
    </xf>
    <xf numFmtId="49" fontId="5" fillId="9" borderId="23" xfId="0" applyNumberFormat="1" applyFont="1" applyFill="1" applyBorder="1" applyAlignment="1">
      <alignment horizontal="center" vertical="center"/>
    </xf>
    <xf numFmtId="0" fontId="5" fillId="9" borderId="23" xfId="0" applyFont="1" applyFill="1" applyBorder="1" applyAlignment="1">
      <alignment horizontal="center" vertical="center"/>
    </xf>
    <xf numFmtId="0" fontId="12" fillId="0" borderId="31" xfId="0" applyFont="1" applyBorder="1" applyAlignment="1">
      <alignment horizontal="left" vertical="center" wrapText="1" indent="1"/>
    </xf>
    <xf numFmtId="0" fontId="12" fillId="9" borderId="29" xfId="0" applyFont="1" applyFill="1" applyBorder="1" applyAlignment="1">
      <alignment horizontal="left" vertical="center" wrapText="1" indent="1"/>
    </xf>
    <xf numFmtId="165" fontId="5" fillId="9" borderId="29" xfId="0" applyNumberFormat="1" applyFont="1" applyFill="1" applyBorder="1" applyAlignment="1">
      <alignment horizontal="left" vertical="center" wrapText="1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9" defaultPivotStyle="PivotStyleMedium7"/>
  <colors>
    <mruColors>
      <color rgb="FF01BD32"/>
      <color rgb="FFEAEEF3"/>
      <color rgb="FF6A3AFF"/>
      <color rgb="FFEE57AD"/>
      <color rgb="FFFFC11D"/>
      <color rgb="FFED7C00"/>
      <color rgb="FF732EE0"/>
      <color rgb="FFF1B93C"/>
      <color rgb="FFFFDCE4"/>
      <color rgb="FFE3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  <pageSetUpPr fitToPage="1"/>
  </sheetPr>
  <dimension ref="B1:BE31"/>
  <sheetViews>
    <sheetView showGridLines="0" tabSelected="1" topLeftCell="D1" zoomScale="60" zoomScaleNormal="60" workbookViewId="0">
      <pane ySplit="9" topLeftCell="A10" activePane="bottomLeft" state="frozen"/>
      <selection pane="bottomLeft" sqref="A1:BE24"/>
    </sheetView>
  </sheetViews>
  <sheetFormatPr baseColWidth="10" defaultColWidth="10.796875" defaultRowHeight="15.6" x14ac:dyDescent="0.3"/>
  <cols>
    <col min="1" max="1" width="2.5" customWidth="1"/>
    <col min="2" max="2" width="14.796875" customWidth="1"/>
    <col min="3" max="3" width="39.19921875" bestFit="1" customWidth="1"/>
    <col min="4" max="4" width="9.796875" customWidth="1"/>
    <col min="5" max="5" width="14.796875" customWidth="1"/>
    <col min="6" max="6" width="11.69921875" customWidth="1"/>
    <col min="7" max="7" width="20.69921875" customWidth="1"/>
    <col min="8" max="22" width="5.69921875" customWidth="1"/>
    <col min="23" max="32" width="6.296875" customWidth="1"/>
    <col min="33" max="37" width="6.19921875" customWidth="1"/>
    <col min="38" max="57" width="6.296875" customWidth="1"/>
  </cols>
  <sheetData>
    <row r="1" spans="2:57" s="26" customFormat="1" ht="49.95" customHeight="1" x14ac:dyDescent="0.3">
      <c r="B1" s="54" t="s">
        <v>17</v>
      </c>
      <c r="C1" s="27"/>
      <c r="D1" s="27"/>
      <c r="E1" s="27"/>
      <c r="F1" s="27"/>
      <c r="G1" s="27"/>
      <c r="H1" s="27"/>
      <c r="I1" s="27"/>
      <c r="J1" s="27"/>
      <c r="K1" s="27"/>
      <c r="L1" s="28"/>
      <c r="M1"/>
      <c r="N1"/>
      <c r="O1"/>
      <c r="P1" s="28"/>
      <c r="Q1" s="28"/>
      <c r="R1" s="28"/>
      <c r="S1" s="28"/>
      <c r="T1" s="28"/>
      <c r="U1" s="28"/>
      <c r="V1" s="28"/>
      <c r="W1" s="28"/>
    </row>
    <row r="2" spans="2:57" s="1" customFormat="1" ht="34.950000000000003" customHeight="1" x14ac:dyDescent="0.25">
      <c r="B2" s="39" t="s">
        <v>1</v>
      </c>
      <c r="C2" s="92" t="s">
        <v>20</v>
      </c>
    </row>
    <row r="3" spans="2:57" s="1" customFormat="1" ht="34.950000000000003" customHeight="1" thickBot="1" x14ac:dyDescent="0.3">
      <c r="B3" s="42" t="s">
        <v>2</v>
      </c>
      <c r="C3" s="43" t="s">
        <v>19</v>
      </c>
    </row>
    <row r="4" spans="2:57" s="1" customFormat="1" ht="34.950000000000003" customHeight="1" thickTop="1" x14ac:dyDescent="0.25">
      <c r="B4" s="41" t="s">
        <v>3</v>
      </c>
      <c r="C4" s="91" t="s">
        <v>18</v>
      </c>
    </row>
    <row r="5" spans="2:57" s="1" customFormat="1" ht="24" customHeight="1" x14ac:dyDescent="0.25">
      <c r="B5" s="40" t="s">
        <v>52</v>
      </c>
      <c r="C5" s="93" t="s">
        <v>53</v>
      </c>
    </row>
    <row r="6" spans="2:57" s="1" customFormat="1" ht="18" customHeight="1" thickBot="1" x14ac:dyDescent="0.3">
      <c r="B6" s="2"/>
    </row>
    <row r="7" spans="2:57" ht="19.95" customHeight="1" thickBot="1" x14ac:dyDescent="0.35">
      <c r="B7" s="4"/>
      <c r="C7" s="5"/>
      <c r="D7" s="5"/>
      <c r="E7" s="5"/>
      <c r="F7" s="5"/>
      <c r="G7" s="5"/>
      <c r="H7" s="59" t="s">
        <v>36</v>
      </c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1"/>
      <c r="AB7" s="62" t="s">
        <v>37</v>
      </c>
      <c r="AC7" s="63"/>
      <c r="AD7" s="63"/>
      <c r="AE7" s="63"/>
      <c r="AF7" s="63"/>
      <c r="AG7" s="63"/>
      <c r="AH7" s="63"/>
      <c r="AI7" s="63"/>
      <c r="AJ7" s="63"/>
      <c r="AK7" s="63"/>
      <c r="AL7" s="64" t="s">
        <v>38</v>
      </c>
      <c r="AM7" s="65"/>
      <c r="AN7" s="65"/>
      <c r="AO7" s="65"/>
      <c r="AP7" s="65"/>
      <c r="AQ7" s="65"/>
      <c r="AR7" s="65"/>
      <c r="AS7" s="65"/>
      <c r="AT7" s="65"/>
      <c r="AU7" s="65"/>
      <c r="AV7" s="66" t="s">
        <v>39</v>
      </c>
      <c r="AW7" s="67"/>
      <c r="AX7" s="67"/>
      <c r="AY7" s="67"/>
      <c r="AZ7" s="67"/>
      <c r="BA7" s="67"/>
      <c r="BB7" s="67"/>
      <c r="BC7" s="67"/>
      <c r="BD7" s="67"/>
      <c r="BE7" s="67"/>
    </row>
    <row r="8" spans="2:57" s="80" customFormat="1" x14ac:dyDescent="0.3">
      <c r="B8" s="86" t="s">
        <v>4</v>
      </c>
      <c r="C8" s="75" t="s">
        <v>5</v>
      </c>
      <c r="D8" s="76" t="s">
        <v>6</v>
      </c>
      <c r="E8" s="77" t="s">
        <v>6</v>
      </c>
      <c r="F8" s="78" t="s">
        <v>7</v>
      </c>
      <c r="G8" s="79" t="s">
        <v>50</v>
      </c>
      <c r="H8" s="68" t="s">
        <v>40</v>
      </c>
      <c r="I8" s="57"/>
      <c r="J8" s="57"/>
      <c r="K8" s="57"/>
      <c r="L8" s="57"/>
      <c r="M8" s="57" t="s">
        <v>41</v>
      </c>
      <c r="N8" s="57"/>
      <c r="O8" s="57"/>
      <c r="P8" s="57"/>
      <c r="Q8" s="57"/>
      <c r="R8" s="57" t="s">
        <v>42</v>
      </c>
      <c r="S8" s="57"/>
      <c r="T8" s="57"/>
      <c r="U8" s="57"/>
      <c r="V8" s="58"/>
      <c r="W8" s="57" t="s">
        <v>45</v>
      </c>
      <c r="X8" s="57"/>
      <c r="Y8" s="57"/>
      <c r="Z8" s="57"/>
      <c r="AA8" s="58"/>
      <c r="AB8" s="69" t="s">
        <v>46</v>
      </c>
      <c r="AC8" s="70"/>
      <c r="AD8" s="70"/>
      <c r="AE8" s="70"/>
      <c r="AF8" s="70"/>
      <c r="AG8" s="70" t="s">
        <v>47</v>
      </c>
      <c r="AH8" s="70"/>
      <c r="AI8" s="70"/>
      <c r="AJ8" s="70"/>
      <c r="AK8" s="70"/>
      <c r="AL8" s="71" t="s">
        <v>43</v>
      </c>
      <c r="AM8" s="72"/>
      <c r="AN8" s="72"/>
      <c r="AO8" s="72"/>
      <c r="AP8" s="72"/>
      <c r="AQ8" s="72" t="s">
        <v>44</v>
      </c>
      <c r="AR8" s="72"/>
      <c r="AS8" s="72"/>
      <c r="AT8" s="72"/>
      <c r="AU8" s="72"/>
      <c r="AV8" s="73" t="s">
        <v>48</v>
      </c>
      <c r="AW8" s="74"/>
      <c r="AX8" s="74"/>
      <c r="AY8" s="74"/>
      <c r="AZ8" s="74"/>
      <c r="BA8" s="74" t="s">
        <v>49</v>
      </c>
      <c r="BB8" s="74"/>
      <c r="BC8" s="74"/>
      <c r="BD8" s="74"/>
      <c r="BE8" s="74"/>
    </row>
    <row r="9" spans="2:57" ht="16.2" thickBot="1" x14ac:dyDescent="0.35">
      <c r="B9" s="87" t="s">
        <v>8</v>
      </c>
      <c r="C9" s="81" t="s">
        <v>9</v>
      </c>
      <c r="D9" s="82" t="s">
        <v>10</v>
      </c>
      <c r="E9" s="83" t="s">
        <v>11</v>
      </c>
      <c r="F9" s="84" t="s">
        <v>12</v>
      </c>
      <c r="G9" s="85" t="s">
        <v>51</v>
      </c>
      <c r="H9" s="6" t="s">
        <v>13</v>
      </c>
      <c r="I9" s="7" t="s">
        <v>0</v>
      </c>
      <c r="J9" s="7" t="s">
        <v>14</v>
      </c>
      <c r="K9" s="7" t="s">
        <v>15</v>
      </c>
      <c r="L9" s="7" t="s">
        <v>16</v>
      </c>
      <c r="M9" s="7" t="s">
        <v>13</v>
      </c>
      <c r="N9" s="7" t="s">
        <v>0</v>
      </c>
      <c r="O9" s="7" t="s">
        <v>14</v>
      </c>
      <c r="P9" s="7" t="s">
        <v>15</v>
      </c>
      <c r="Q9" s="7" t="s">
        <v>16</v>
      </c>
      <c r="R9" s="7" t="s">
        <v>13</v>
      </c>
      <c r="S9" s="7" t="s">
        <v>0</v>
      </c>
      <c r="T9" s="7" t="s">
        <v>14</v>
      </c>
      <c r="U9" s="7" t="s">
        <v>15</v>
      </c>
      <c r="V9" s="8" t="s">
        <v>16</v>
      </c>
      <c r="W9" s="7" t="s">
        <v>13</v>
      </c>
      <c r="X9" s="7" t="s">
        <v>0</v>
      </c>
      <c r="Y9" s="7" t="s">
        <v>14</v>
      </c>
      <c r="Z9" s="7" t="s">
        <v>15</v>
      </c>
      <c r="AA9" s="8" t="s">
        <v>16</v>
      </c>
      <c r="AB9" s="9" t="s">
        <v>13</v>
      </c>
      <c r="AC9" s="10" t="s">
        <v>0</v>
      </c>
      <c r="AD9" s="10" t="s">
        <v>14</v>
      </c>
      <c r="AE9" s="10" t="s">
        <v>15</v>
      </c>
      <c r="AF9" s="10" t="s">
        <v>16</v>
      </c>
      <c r="AG9" s="10" t="s">
        <v>13</v>
      </c>
      <c r="AH9" s="10" t="s">
        <v>0</v>
      </c>
      <c r="AI9" s="10" t="s">
        <v>14</v>
      </c>
      <c r="AJ9" s="10" t="s">
        <v>15</v>
      </c>
      <c r="AK9" s="10" t="s">
        <v>16</v>
      </c>
      <c r="AL9" s="23" t="s">
        <v>13</v>
      </c>
      <c r="AM9" s="24" t="s">
        <v>0</v>
      </c>
      <c r="AN9" s="24" t="s">
        <v>14</v>
      </c>
      <c r="AO9" s="24" t="s">
        <v>15</v>
      </c>
      <c r="AP9" s="24" t="s">
        <v>16</v>
      </c>
      <c r="AQ9" s="24" t="s">
        <v>13</v>
      </c>
      <c r="AR9" s="24" t="s">
        <v>0</v>
      </c>
      <c r="AS9" s="24" t="s">
        <v>14</v>
      </c>
      <c r="AT9" s="24" t="s">
        <v>15</v>
      </c>
      <c r="AU9" s="24" t="s">
        <v>16</v>
      </c>
      <c r="AV9" s="11" t="s">
        <v>13</v>
      </c>
      <c r="AW9" s="12" t="s">
        <v>0</v>
      </c>
      <c r="AX9" s="12" t="s">
        <v>14</v>
      </c>
      <c r="AY9" s="12" t="s">
        <v>15</v>
      </c>
      <c r="AZ9" s="12" t="s">
        <v>16</v>
      </c>
      <c r="BA9" s="12" t="s">
        <v>13</v>
      </c>
      <c r="BB9" s="12" t="s">
        <v>0</v>
      </c>
      <c r="BC9" s="12" t="s">
        <v>14</v>
      </c>
      <c r="BD9" s="12" t="s">
        <v>15</v>
      </c>
      <c r="BE9" s="12" t="s">
        <v>16</v>
      </c>
    </row>
    <row r="10" spans="2:57" ht="19.95" customHeight="1" thickTop="1" x14ac:dyDescent="0.3">
      <c r="B10" s="88">
        <v>1</v>
      </c>
      <c r="C10" s="29" t="s">
        <v>21</v>
      </c>
      <c r="D10" s="49"/>
      <c r="E10" s="47"/>
      <c r="F10" s="30" t="str">
        <f>IF(E10-D10=0,"",E10-D10)</f>
        <v/>
      </c>
      <c r="G10" s="36"/>
      <c r="H10" s="3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5"/>
      <c r="AB10" s="13"/>
      <c r="AC10" s="14"/>
      <c r="AD10" s="14"/>
      <c r="AE10" s="14"/>
      <c r="AF10" s="14"/>
      <c r="AG10" s="14"/>
      <c r="AH10" s="14"/>
      <c r="AI10" s="14"/>
      <c r="AJ10" s="14"/>
      <c r="AK10" s="14"/>
      <c r="AL10" s="13"/>
      <c r="AM10" s="14"/>
      <c r="AN10" s="14"/>
      <c r="AO10" s="14"/>
      <c r="AP10" s="14"/>
      <c r="AQ10" s="14"/>
      <c r="AR10" s="14"/>
      <c r="AS10" s="14"/>
      <c r="AT10" s="14"/>
      <c r="AU10" s="14"/>
      <c r="AV10" s="13"/>
      <c r="AW10" s="14"/>
      <c r="AX10" s="14"/>
      <c r="AY10" s="14"/>
      <c r="AZ10" s="14"/>
      <c r="BA10" s="14"/>
      <c r="BB10" s="14"/>
      <c r="BC10" s="14"/>
      <c r="BD10" s="14"/>
      <c r="BE10" s="14"/>
    </row>
    <row r="11" spans="2:57" ht="19.95" customHeight="1" x14ac:dyDescent="0.3">
      <c r="B11" s="89">
        <v>1.1000000000000001</v>
      </c>
      <c r="C11" s="31" t="s">
        <v>22</v>
      </c>
      <c r="D11" s="50">
        <v>45754</v>
      </c>
      <c r="E11" s="52">
        <v>45770</v>
      </c>
      <c r="F11" s="53">
        <f t="shared" ref="F11:F24" si="0">IF(E11-D11=0,"",E11-D11)</f>
        <v>16</v>
      </c>
      <c r="G11" s="37">
        <f ca="1">IF(TODAY() &lt; D11, 0,
  IF(TODAY() &gt; E11, 1,
    (TODAY() - D11) / (E11 - D11)
  )
)</f>
        <v>0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18"/>
      <c r="V11" s="18"/>
      <c r="W11" s="17"/>
      <c r="X11" s="17"/>
      <c r="Y11" s="17"/>
      <c r="Z11" s="17"/>
      <c r="AA11" s="19"/>
      <c r="AB11" s="16"/>
      <c r="AC11" s="17"/>
      <c r="AD11" s="17"/>
      <c r="AE11" s="17"/>
      <c r="AF11" s="17"/>
      <c r="AG11" s="20"/>
      <c r="AH11" s="20"/>
      <c r="AI11" s="20"/>
      <c r="AJ11" s="20"/>
      <c r="AK11" s="20"/>
      <c r="AL11" s="16"/>
      <c r="AM11" s="17"/>
      <c r="AN11" s="17"/>
      <c r="AO11" s="17"/>
      <c r="AP11" s="17"/>
      <c r="AQ11" s="25"/>
      <c r="AR11" s="25"/>
      <c r="AS11" s="25"/>
      <c r="AT11" s="25"/>
      <c r="AU11" s="25"/>
      <c r="AV11" s="16"/>
      <c r="AW11" s="17"/>
      <c r="AX11" s="17"/>
      <c r="AY11" s="17"/>
      <c r="AZ11" s="17"/>
      <c r="BA11" s="21"/>
      <c r="BB11" s="21"/>
      <c r="BC11" s="21"/>
      <c r="BD11" s="21"/>
      <c r="BE11" s="21"/>
    </row>
    <row r="12" spans="2:57" ht="19.95" customHeight="1" x14ac:dyDescent="0.3">
      <c r="B12" s="89">
        <v>1.2</v>
      </c>
      <c r="C12" s="31" t="s">
        <v>23</v>
      </c>
      <c r="D12" s="50">
        <v>45770</v>
      </c>
      <c r="E12" s="52">
        <v>45775</v>
      </c>
      <c r="F12" s="53">
        <f t="shared" si="0"/>
        <v>5</v>
      </c>
      <c r="G12" s="37">
        <f ca="1">IF(TODAY() &lt; D12, 0,
  IF(TODAY() &gt; E12, 1,
    (TODAY() - D12) / (E12 - D12)
  )
)</f>
        <v>0</v>
      </c>
      <c r="H12" s="35"/>
      <c r="I12" s="17"/>
      <c r="J12" s="17"/>
      <c r="K12" s="17"/>
      <c r="L12" s="17"/>
      <c r="M12" s="18"/>
      <c r="N12" s="18"/>
      <c r="O12" s="18"/>
      <c r="P12" s="18"/>
      <c r="Q12" s="18"/>
      <c r="R12" s="18"/>
      <c r="S12" s="18"/>
      <c r="T12" s="44"/>
      <c r="U12" s="44"/>
      <c r="V12" s="44"/>
      <c r="W12" s="44"/>
      <c r="X12" s="17"/>
      <c r="Y12" s="17"/>
      <c r="Z12" s="17"/>
      <c r="AA12" s="19"/>
      <c r="AB12" s="16"/>
      <c r="AC12" s="17"/>
      <c r="AD12" s="17"/>
      <c r="AE12" s="17"/>
      <c r="AF12" s="17"/>
      <c r="AG12" s="20"/>
      <c r="AH12" s="20"/>
      <c r="AI12" s="20"/>
      <c r="AJ12" s="20"/>
      <c r="AK12" s="20"/>
      <c r="AL12" s="16"/>
      <c r="AM12" s="17"/>
      <c r="AN12" s="17"/>
      <c r="AO12" s="17"/>
      <c r="AP12" s="17"/>
      <c r="AQ12" s="25"/>
      <c r="AR12" s="25"/>
      <c r="AS12" s="25"/>
      <c r="AT12" s="25"/>
      <c r="AU12" s="25"/>
      <c r="AV12" s="16"/>
      <c r="AW12" s="17"/>
      <c r="AX12" s="17"/>
      <c r="AY12" s="17"/>
      <c r="AZ12" s="17"/>
      <c r="BA12" s="21"/>
      <c r="BB12" s="21"/>
      <c r="BC12" s="21"/>
      <c r="BD12" s="21"/>
      <c r="BE12" s="21"/>
    </row>
    <row r="13" spans="2:57" ht="26.4" x14ac:dyDescent="0.3">
      <c r="B13" s="89">
        <v>1.3</v>
      </c>
      <c r="C13" s="55" t="s">
        <v>32</v>
      </c>
      <c r="D13" s="50">
        <v>45775</v>
      </c>
      <c r="E13" s="52">
        <v>45782</v>
      </c>
      <c r="F13" s="53">
        <f t="shared" si="0"/>
        <v>7</v>
      </c>
      <c r="G13" s="37">
        <f ca="1">IF(TODAY() &lt; D13, 0,
  IF(TODAY() &gt; E13, 1,
    (TODAY() - D13) / (E13 - D13)
  )
)</f>
        <v>0</v>
      </c>
      <c r="H13" s="35"/>
      <c r="I13" s="17"/>
      <c r="J13" s="17"/>
      <c r="K13" s="17"/>
      <c r="L13" s="17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44"/>
      <c r="X13" s="44"/>
      <c r="Y13" s="44"/>
      <c r="Z13" s="44"/>
      <c r="AA13" s="44"/>
      <c r="AB13" s="16"/>
      <c r="AC13" s="17"/>
      <c r="AD13" s="17"/>
      <c r="AE13" s="17"/>
      <c r="AF13" s="17"/>
      <c r="AG13" s="20"/>
      <c r="AH13" s="20"/>
      <c r="AI13" s="20"/>
      <c r="AJ13" s="20"/>
      <c r="AK13" s="20"/>
      <c r="AL13" s="16"/>
      <c r="AM13" s="17"/>
      <c r="AN13" s="17"/>
      <c r="AO13" s="17"/>
      <c r="AP13" s="17"/>
      <c r="AQ13" s="25"/>
      <c r="AR13" s="25"/>
      <c r="AS13" s="25"/>
      <c r="AT13" s="25"/>
      <c r="AU13" s="25"/>
      <c r="AV13" s="16"/>
      <c r="AW13" s="17"/>
      <c r="AX13" s="17"/>
      <c r="AY13" s="17"/>
      <c r="AZ13" s="17"/>
      <c r="BA13" s="21"/>
      <c r="BB13" s="21"/>
      <c r="BC13" s="21"/>
      <c r="BD13" s="21"/>
      <c r="BE13" s="21"/>
    </row>
    <row r="14" spans="2:57" ht="19.95" customHeight="1" x14ac:dyDescent="0.3">
      <c r="B14" s="89">
        <v>2</v>
      </c>
      <c r="C14" s="32" t="s">
        <v>24</v>
      </c>
      <c r="D14" s="51"/>
      <c r="E14" s="48"/>
      <c r="F14" s="33" t="str">
        <f t="shared" si="0"/>
        <v/>
      </c>
      <c r="G14" s="38"/>
      <c r="H14" s="3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5"/>
      <c r="AB14" s="13"/>
      <c r="AC14" s="14"/>
      <c r="AD14" s="14"/>
      <c r="AE14" s="14"/>
      <c r="AF14" s="14"/>
      <c r="AG14" s="14"/>
      <c r="AH14" s="14"/>
      <c r="AI14" s="14"/>
      <c r="AJ14" s="14"/>
      <c r="AK14" s="14"/>
      <c r="AL14" s="13"/>
      <c r="AM14" s="14"/>
      <c r="AN14" s="14"/>
      <c r="AO14" s="14"/>
      <c r="AP14" s="14"/>
      <c r="AQ14" s="14"/>
      <c r="AR14" s="14"/>
      <c r="AS14" s="14"/>
      <c r="AT14" s="14"/>
      <c r="AU14" s="14"/>
      <c r="AV14" s="13"/>
      <c r="AW14" s="14"/>
      <c r="AX14" s="14"/>
      <c r="AY14" s="14"/>
      <c r="AZ14" s="14"/>
      <c r="BA14" s="14"/>
      <c r="BB14" s="14"/>
      <c r="BC14" s="14"/>
      <c r="BD14" s="14"/>
      <c r="BE14" s="14"/>
    </row>
    <row r="15" spans="2:57" x14ac:dyDescent="0.3">
      <c r="B15" s="89">
        <v>2.1</v>
      </c>
      <c r="C15" s="55" t="s">
        <v>25</v>
      </c>
      <c r="D15" s="50">
        <v>45782</v>
      </c>
      <c r="E15" s="52">
        <v>45786</v>
      </c>
      <c r="F15" s="53">
        <f t="shared" si="0"/>
        <v>4</v>
      </c>
      <c r="G15" s="37">
        <f ca="1">IF(TODAY() &lt; D15, 0,
  IF(TODAY() &gt; E15, 1,
    (TODAY() - D15) / (E15 - D15)
  )
)</f>
        <v>0</v>
      </c>
      <c r="H15" s="35"/>
      <c r="I15" s="17"/>
      <c r="J15" s="17"/>
      <c r="K15" s="17"/>
      <c r="L15" s="17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7"/>
      <c r="X15" s="17"/>
      <c r="Y15" s="17"/>
      <c r="Z15" s="17"/>
      <c r="AA15" s="19"/>
      <c r="AB15" s="22"/>
      <c r="AC15" s="22"/>
      <c r="AD15" s="22"/>
      <c r="AE15" s="22"/>
      <c r="AF15" s="22"/>
      <c r="AG15" s="20"/>
      <c r="AH15" s="20"/>
      <c r="AI15" s="20"/>
      <c r="AJ15" s="20"/>
      <c r="AK15" s="20"/>
      <c r="AL15" s="16"/>
      <c r="AM15" s="17"/>
      <c r="AN15" s="17"/>
      <c r="AO15" s="17"/>
      <c r="AP15" s="17"/>
      <c r="AQ15" s="25"/>
      <c r="AR15" s="25"/>
      <c r="AS15" s="25"/>
      <c r="AT15" s="25"/>
      <c r="AU15" s="25"/>
      <c r="AV15" s="16"/>
      <c r="AW15" s="17"/>
      <c r="AX15" s="17"/>
      <c r="AY15" s="17"/>
      <c r="AZ15" s="17"/>
      <c r="BA15" s="21"/>
      <c r="BB15" s="21"/>
      <c r="BC15" s="21"/>
      <c r="BD15" s="21"/>
      <c r="BE15" s="21"/>
    </row>
    <row r="16" spans="2:57" ht="26.4" x14ac:dyDescent="0.3">
      <c r="B16" s="89">
        <v>2.2000000000000002</v>
      </c>
      <c r="C16" s="55" t="s">
        <v>26</v>
      </c>
      <c r="D16" s="50">
        <v>45786</v>
      </c>
      <c r="E16" s="52">
        <v>45791</v>
      </c>
      <c r="F16" s="53">
        <f t="shared" si="0"/>
        <v>5</v>
      </c>
      <c r="G16" s="37">
        <f t="shared" ref="G16:G17" ca="1" si="1">IF(TODAY() &lt; D16, 0,
  IF(TODAY() &gt; E16, 1,
    (TODAY() - D16) / (E16 - D16)
  )
)</f>
        <v>0</v>
      </c>
      <c r="H16" s="35"/>
      <c r="I16" s="17"/>
      <c r="J16" s="17"/>
      <c r="K16" s="17"/>
      <c r="L16" s="17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7"/>
      <c r="X16" s="17"/>
      <c r="Y16" s="17"/>
      <c r="Z16" s="17"/>
      <c r="AA16" s="19"/>
      <c r="AB16" s="16"/>
      <c r="AC16" s="17"/>
      <c r="AD16" s="17"/>
      <c r="AE16" s="17"/>
      <c r="AF16" s="22"/>
      <c r="AG16" s="22"/>
      <c r="AH16" s="22"/>
      <c r="AI16" s="22"/>
      <c r="AJ16" s="20"/>
      <c r="AK16" s="20"/>
      <c r="AL16" s="16"/>
      <c r="AM16" s="17"/>
      <c r="AN16" s="17"/>
      <c r="AO16" s="17"/>
      <c r="AP16" s="17"/>
      <c r="AQ16" s="25"/>
      <c r="AR16" s="25"/>
      <c r="AS16" s="25"/>
      <c r="AT16" s="25"/>
      <c r="AU16" s="25"/>
      <c r="AV16" s="16"/>
      <c r="AW16" s="17"/>
      <c r="AX16" s="17"/>
      <c r="AY16" s="17"/>
      <c r="AZ16" s="17"/>
      <c r="BA16" s="21"/>
      <c r="BB16" s="21"/>
      <c r="BC16" s="21"/>
      <c r="BD16" s="21"/>
      <c r="BE16" s="21"/>
    </row>
    <row r="17" spans="2:57" ht="26.4" x14ac:dyDescent="0.3">
      <c r="B17" s="89">
        <v>2.2999999999999998</v>
      </c>
      <c r="C17" s="55" t="s">
        <v>27</v>
      </c>
      <c r="D17" s="50">
        <v>45786</v>
      </c>
      <c r="E17" s="52">
        <v>45793</v>
      </c>
      <c r="F17" s="53">
        <f t="shared" si="0"/>
        <v>7</v>
      </c>
      <c r="G17" s="37">
        <f t="shared" ca="1" si="1"/>
        <v>0</v>
      </c>
      <c r="H17" s="35"/>
      <c r="I17" s="17"/>
      <c r="J17" s="17"/>
      <c r="K17" s="17"/>
      <c r="L17" s="17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7"/>
      <c r="X17" s="17"/>
      <c r="Y17" s="17"/>
      <c r="Z17" s="17"/>
      <c r="AA17" s="19"/>
      <c r="AB17" s="16"/>
      <c r="AC17" s="17"/>
      <c r="AD17" s="17"/>
      <c r="AE17" s="17"/>
      <c r="AF17" s="22"/>
      <c r="AG17" s="22"/>
      <c r="AH17" s="22"/>
      <c r="AI17" s="22"/>
      <c r="AJ17" s="22"/>
      <c r="AK17" s="22"/>
      <c r="AL17" s="16"/>
      <c r="AM17" s="17"/>
      <c r="AN17" s="17"/>
      <c r="AO17" s="17"/>
      <c r="AP17" s="17"/>
      <c r="AQ17" s="25"/>
      <c r="AR17" s="25"/>
      <c r="AS17" s="25"/>
      <c r="AT17" s="25"/>
      <c r="AU17" s="25"/>
      <c r="AV17" s="16"/>
      <c r="AW17" s="17"/>
      <c r="AX17" s="17"/>
      <c r="AY17" s="17"/>
      <c r="AZ17" s="17"/>
      <c r="BA17" s="21"/>
      <c r="BB17" s="21"/>
      <c r="BC17" s="21"/>
      <c r="BD17" s="21"/>
      <c r="BE17" s="21"/>
    </row>
    <row r="18" spans="2:57" ht="26.4" x14ac:dyDescent="0.3">
      <c r="B18" s="90">
        <v>2.4</v>
      </c>
      <c r="C18" s="55" t="s">
        <v>28</v>
      </c>
      <c r="D18" s="50">
        <v>45786</v>
      </c>
      <c r="E18" s="52">
        <v>45793</v>
      </c>
      <c r="F18" s="53">
        <f t="shared" si="0"/>
        <v>7</v>
      </c>
      <c r="G18" s="37">
        <f ca="1">IF(TODAY() &lt; D18, 0,
  IF(TODAY() &gt; E18, 1,
    (TODAY() - D18) / (E18 - D18)
  )
)</f>
        <v>0</v>
      </c>
      <c r="H18" s="35"/>
      <c r="I18" s="17"/>
      <c r="J18" s="17"/>
      <c r="K18" s="17"/>
      <c r="L18" s="17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7"/>
      <c r="X18" s="17"/>
      <c r="Y18" s="17"/>
      <c r="Z18" s="17"/>
      <c r="AA18" s="19"/>
      <c r="AB18" s="16"/>
      <c r="AC18" s="17"/>
      <c r="AD18" s="17"/>
      <c r="AE18" s="17"/>
      <c r="AF18" s="22"/>
      <c r="AG18" s="22"/>
      <c r="AH18" s="22"/>
      <c r="AI18" s="22"/>
      <c r="AJ18" s="22"/>
      <c r="AK18" s="22"/>
      <c r="AL18" s="16"/>
      <c r="AM18" s="17"/>
      <c r="AN18" s="17"/>
      <c r="AO18" s="17"/>
      <c r="AP18" s="17"/>
      <c r="AQ18" s="25"/>
      <c r="AR18" s="25"/>
      <c r="AS18" s="25"/>
      <c r="AT18" s="25"/>
      <c r="AU18" s="25"/>
      <c r="AV18" s="16"/>
      <c r="AW18" s="17"/>
      <c r="AX18" s="17"/>
      <c r="AY18" s="17"/>
      <c r="AZ18" s="17"/>
      <c r="BA18" s="21"/>
      <c r="BB18" s="21"/>
      <c r="BC18" s="21"/>
      <c r="BD18" s="21"/>
      <c r="BE18" s="21"/>
    </row>
    <row r="19" spans="2:57" ht="26.4" x14ac:dyDescent="0.3">
      <c r="B19" s="89">
        <v>3</v>
      </c>
      <c r="C19" s="56" t="s">
        <v>31</v>
      </c>
      <c r="D19" s="51"/>
      <c r="E19" s="48"/>
      <c r="F19" s="33" t="str">
        <f t="shared" si="0"/>
        <v/>
      </c>
      <c r="G19" s="38"/>
      <c r="H19" s="3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  <c r="AB19" s="13"/>
      <c r="AC19" s="14"/>
      <c r="AD19" s="14"/>
      <c r="AE19" s="14"/>
      <c r="AF19" s="14"/>
      <c r="AG19" s="14"/>
      <c r="AH19" s="14"/>
      <c r="AI19" s="14"/>
      <c r="AJ19" s="14"/>
      <c r="AK19" s="14"/>
      <c r="AL19" s="13"/>
      <c r="AM19" s="14"/>
      <c r="AN19" s="14"/>
      <c r="AO19" s="14"/>
      <c r="AP19" s="14"/>
      <c r="AQ19" s="14"/>
      <c r="AR19" s="14"/>
      <c r="AS19" s="14"/>
      <c r="AT19" s="14"/>
      <c r="AU19" s="14"/>
      <c r="AV19" s="13"/>
      <c r="AW19" s="14"/>
      <c r="AX19" s="14"/>
      <c r="AY19" s="14"/>
      <c r="AZ19" s="14"/>
      <c r="BA19" s="14"/>
      <c r="BB19" s="14"/>
      <c r="BC19" s="14"/>
      <c r="BD19" s="14"/>
      <c r="BE19" s="14"/>
    </row>
    <row r="20" spans="2:57" ht="39.6" x14ac:dyDescent="0.3">
      <c r="B20" s="89">
        <v>3.1</v>
      </c>
      <c r="C20" s="55" t="s">
        <v>29</v>
      </c>
      <c r="D20" s="50">
        <v>45796</v>
      </c>
      <c r="E20" s="52">
        <v>45810</v>
      </c>
      <c r="F20" s="53">
        <f t="shared" si="0"/>
        <v>14</v>
      </c>
      <c r="G20" s="37">
        <f ca="1">IF(TODAY() &lt; D20, 0,
  IF(TODAY() &gt; E20, 1,
    (TODAY() - D20) / (E20 - D20)
  )
)</f>
        <v>0</v>
      </c>
      <c r="H20" s="35"/>
      <c r="I20" s="17"/>
      <c r="J20" s="17"/>
      <c r="K20" s="17"/>
      <c r="L20" s="17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7"/>
      <c r="X20" s="17"/>
      <c r="Y20" s="17"/>
      <c r="Z20" s="17"/>
      <c r="AA20" s="19"/>
      <c r="AB20" s="16"/>
      <c r="AC20" s="17"/>
      <c r="AD20" s="17"/>
      <c r="AE20" s="17"/>
      <c r="AF20" s="17"/>
      <c r="AG20" s="20"/>
      <c r="AH20" s="20"/>
      <c r="AI20" s="20"/>
      <c r="AJ20" s="20"/>
      <c r="AK20" s="20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16"/>
      <c r="AW20" s="17"/>
      <c r="AX20" s="17"/>
      <c r="AY20" s="17"/>
      <c r="AZ20" s="17"/>
      <c r="BA20" s="21"/>
      <c r="BB20" s="21"/>
      <c r="BC20" s="21"/>
      <c r="BD20" s="21"/>
      <c r="BE20" s="21"/>
    </row>
    <row r="21" spans="2:57" ht="39.6" x14ac:dyDescent="0.3">
      <c r="B21" s="89">
        <v>3.2</v>
      </c>
      <c r="C21" s="55" t="s">
        <v>30</v>
      </c>
      <c r="D21" s="50">
        <v>45796</v>
      </c>
      <c r="E21" s="52">
        <v>45810</v>
      </c>
      <c r="F21" s="53">
        <f t="shared" si="0"/>
        <v>14</v>
      </c>
      <c r="G21" s="37">
        <f ca="1">IF(TODAY() &lt; D21, 0,
  IF(TODAY() &gt; E21, 1,
    (TODAY() - D21) / (E21 - D21)
  )
)</f>
        <v>0</v>
      </c>
      <c r="H21" s="35"/>
      <c r="I21" s="17"/>
      <c r="J21" s="17"/>
      <c r="K21" s="17"/>
      <c r="L21" s="17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7"/>
      <c r="X21" s="17"/>
      <c r="Y21" s="17"/>
      <c r="Z21" s="17"/>
      <c r="AA21" s="19"/>
      <c r="AB21" s="16"/>
      <c r="AC21" s="17"/>
      <c r="AD21" s="17"/>
      <c r="AE21" s="17"/>
      <c r="AF21" s="17"/>
      <c r="AG21" s="20"/>
      <c r="AH21" s="20"/>
      <c r="AI21" s="20"/>
      <c r="AJ21" s="20"/>
      <c r="AK21" s="20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16"/>
      <c r="AW21" s="17"/>
      <c r="AX21" s="17"/>
      <c r="AY21" s="17"/>
      <c r="AZ21" s="17"/>
      <c r="BA21" s="21"/>
      <c r="BB21" s="21"/>
      <c r="BC21" s="21"/>
      <c r="BD21" s="21"/>
      <c r="BE21" s="21"/>
    </row>
    <row r="22" spans="2:57" ht="19.95" customHeight="1" x14ac:dyDescent="0.3">
      <c r="B22" s="89">
        <v>4</v>
      </c>
      <c r="C22" s="32" t="s">
        <v>33</v>
      </c>
      <c r="D22" s="51"/>
      <c r="E22" s="48"/>
      <c r="F22" s="33" t="str">
        <f t="shared" si="0"/>
        <v/>
      </c>
      <c r="G22" s="38"/>
      <c r="H22" s="3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5"/>
      <c r="AB22" s="13"/>
      <c r="AC22" s="14"/>
      <c r="AD22" s="14"/>
      <c r="AE22" s="14"/>
      <c r="AF22" s="14"/>
      <c r="AG22" s="14"/>
      <c r="AH22" s="14"/>
      <c r="AI22" s="14"/>
      <c r="AJ22" s="14"/>
      <c r="AK22" s="14"/>
      <c r="AL22" s="13"/>
      <c r="AM22" s="14"/>
      <c r="AN22" s="14"/>
      <c r="AO22" s="14"/>
      <c r="AP22" s="14"/>
      <c r="AQ22" s="14"/>
      <c r="AR22" s="14"/>
      <c r="AS22" s="14"/>
      <c r="AT22" s="14"/>
      <c r="AU22" s="14"/>
      <c r="AV22" s="13"/>
      <c r="AW22" s="14"/>
      <c r="AX22" s="14"/>
      <c r="AY22" s="14"/>
      <c r="AZ22" s="14"/>
      <c r="BA22" s="14"/>
      <c r="BB22" s="14"/>
      <c r="BC22" s="14"/>
      <c r="BD22" s="14"/>
      <c r="BE22" s="14"/>
    </row>
    <row r="23" spans="2:57" ht="26.4" x14ac:dyDescent="0.3">
      <c r="B23" s="89">
        <v>4.0999999999999996</v>
      </c>
      <c r="C23" s="55" t="s">
        <v>34</v>
      </c>
      <c r="D23" s="50">
        <v>45810</v>
      </c>
      <c r="E23" s="52">
        <v>45819</v>
      </c>
      <c r="F23" s="53">
        <f t="shared" si="0"/>
        <v>9</v>
      </c>
      <c r="G23" s="37">
        <f ca="1">IF(TODAY() &lt; D23, 0,
  IF(TODAY() &gt; E23, 1,
    (TODAY() - D23) / (E23 - D23)
  )
)</f>
        <v>0</v>
      </c>
      <c r="H23" s="35"/>
      <c r="I23" s="17"/>
      <c r="J23" s="17"/>
      <c r="K23" s="17"/>
      <c r="L23" s="17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7"/>
      <c r="X23" s="17"/>
      <c r="Y23" s="17"/>
      <c r="Z23" s="17"/>
      <c r="AA23" s="19"/>
      <c r="AB23" s="16"/>
      <c r="AC23" s="17"/>
      <c r="AD23" s="17"/>
      <c r="AE23" s="17"/>
      <c r="AF23" s="17"/>
      <c r="AG23" s="20"/>
      <c r="AH23" s="20"/>
      <c r="AI23" s="20"/>
      <c r="AJ23" s="20"/>
      <c r="AK23" s="20"/>
      <c r="AL23" s="16"/>
      <c r="AM23" s="17"/>
      <c r="AN23" s="17"/>
      <c r="AO23" s="17"/>
      <c r="AP23" s="17"/>
      <c r="AQ23" s="25"/>
      <c r="AR23" s="25"/>
      <c r="AS23" s="25"/>
      <c r="AT23" s="25"/>
      <c r="AU23" s="25"/>
      <c r="AV23" s="46"/>
      <c r="AW23" s="46"/>
      <c r="AX23" s="46"/>
      <c r="AY23" s="46"/>
      <c r="AZ23" s="46"/>
      <c r="BA23" s="46"/>
      <c r="BB23" s="46"/>
      <c r="BC23" s="46"/>
      <c r="BD23" s="21"/>
      <c r="BE23" s="21"/>
    </row>
    <row r="24" spans="2:57" ht="39.6" x14ac:dyDescent="0.3">
      <c r="B24" s="89">
        <v>4.2</v>
      </c>
      <c r="C24" s="55" t="s">
        <v>35</v>
      </c>
      <c r="D24" s="50">
        <v>45814</v>
      </c>
      <c r="E24" s="52">
        <v>45824</v>
      </c>
      <c r="F24" s="53">
        <f t="shared" si="0"/>
        <v>10</v>
      </c>
      <c r="G24" s="37">
        <f ca="1">IF(TODAY() &lt; D24, 0,
  IF(TODAY() &gt; E24, 1,
    (TODAY() - D24) / (E24 - D24)
  )
)</f>
        <v>0</v>
      </c>
      <c r="H24" s="35"/>
      <c r="I24" s="17"/>
      <c r="J24" s="17"/>
      <c r="K24" s="17"/>
      <c r="L24" s="17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7"/>
      <c r="X24" s="17"/>
      <c r="Y24" s="17"/>
      <c r="Z24" s="17"/>
      <c r="AA24" s="19"/>
      <c r="AB24" s="16"/>
      <c r="AC24" s="17"/>
      <c r="AD24" s="17"/>
      <c r="AE24" s="17"/>
      <c r="AF24" s="17"/>
      <c r="AG24" s="20"/>
      <c r="AH24" s="20"/>
      <c r="AI24" s="20"/>
      <c r="AJ24" s="20"/>
      <c r="AK24" s="20"/>
      <c r="AL24" s="16"/>
      <c r="AM24" s="17"/>
      <c r="AN24" s="17"/>
      <c r="AO24" s="17"/>
      <c r="AP24" s="17"/>
      <c r="AQ24" s="25"/>
      <c r="AR24" s="25"/>
      <c r="AS24" s="25"/>
      <c r="AT24" s="25"/>
      <c r="AU24" s="25"/>
      <c r="AV24" s="16"/>
      <c r="AW24" s="17"/>
      <c r="AX24" s="17"/>
      <c r="AY24" s="17"/>
      <c r="AZ24" s="46"/>
      <c r="BA24" s="46"/>
      <c r="BB24" s="46"/>
      <c r="BC24" s="46"/>
      <c r="BD24" s="46"/>
      <c r="BE24" s="46"/>
    </row>
    <row r="31" spans="2:57" ht="19.2" x14ac:dyDescent="0.35">
      <c r="C31" s="3"/>
    </row>
  </sheetData>
  <mergeCells count="14">
    <mergeCell ref="R8:V8"/>
    <mergeCell ref="H7:AA7"/>
    <mergeCell ref="AB7:AK7"/>
    <mergeCell ref="AL7:AU7"/>
    <mergeCell ref="AV7:BE7"/>
    <mergeCell ref="H8:L8"/>
    <mergeCell ref="M8:Q8"/>
    <mergeCell ref="W8:AA8"/>
    <mergeCell ref="AB8:AF8"/>
    <mergeCell ref="AG8:AK8"/>
    <mergeCell ref="AL8:AP8"/>
    <mergeCell ref="AQ8:AU8"/>
    <mergeCell ref="AV8:AZ8"/>
    <mergeCell ref="BA8:BE8"/>
  </mergeCells>
  <conditionalFormatting sqref="G11">
    <cfRule type="dataBar" priority="1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{8A53550A-C769-9F48-AC7E-8DDE0F9100DF}</x14:id>
        </ext>
      </extLst>
    </cfRule>
  </conditionalFormatting>
  <conditionalFormatting sqref="G12:G24 G10">
    <cfRule type="dataBar" priority="8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{FE5B685F-D93A-1B44-AB73-D05D527007CF}</x14:id>
        </ext>
      </extLst>
    </cfRule>
  </conditionalFormatting>
  <pageMargins left="0.23622047244094491" right="0.23622047244094491" top="0.74803149606299213" bottom="0.74803149606299213" header="0.31496062992125984" footer="0.31496062992125984"/>
  <pageSetup paperSize="5" scale="37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53550A-C769-9F48-AC7E-8DDE0F9100DF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G11</xm:sqref>
        </x14:conditionalFormatting>
        <x14:conditionalFormatting xmlns:xm="http://schemas.microsoft.com/office/excel/2006/main">
          <x14:cfRule type="dataBar" id="{FE5B685F-D93A-1B44-AB73-D05D527007CF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G12:G24 G10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Hi Tech</vt:lpstr>
      <vt:lpstr>'Cronograma Hi Tech'!Área_de_impresión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Roque Ledesma</cp:lastModifiedBy>
  <cp:lastPrinted>2025-04-02T18:16:07Z</cp:lastPrinted>
  <dcterms:created xsi:type="dcterms:W3CDTF">2016-03-21T16:06:55Z</dcterms:created>
  <dcterms:modified xsi:type="dcterms:W3CDTF">2025-04-02T18:16:46Z</dcterms:modified>
</cp:coreProperties>
</file>